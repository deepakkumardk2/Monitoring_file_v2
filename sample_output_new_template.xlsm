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xmlns:r="http://schemas.openxmlformats.org/officeDocument/2006/relationships" name="Sheet1" sheetId="1" state="visible" r:id="rId1"/>
    <sheet xmlns:r="http://schemas.openxmlformats.org/officeDocument/2006/relationships" name="Sheet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d/m/yyyy"/>
  </numFmts>
  <fonts count="12"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b val="1"/>
      <color rgb="FF000000"/>
      <sz val="11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4"/>
      <scheme val="minor"/>
    </font>
    <font>
      <name val="Calibri"/>
      <color theme="1"/>
      <sz val="10"/>
    </font>
    <font>
      <name val="Aptos Narrow"/>
      <family val="2"/>
      <color rgb="FF000000"/>
      <sz val="11"/>
      <scheme val="minor"/>
    </font>
    <font>
      <name val="Aptos Narrow"/>
      <family val="2"/>
      <color rgb="FF000000"/>
      <sz val="11"/>
    </font>
    <font>
      <name val="Arial"/>
      <family val="2"/>
      <b val="1"/>
      <i val="1"/>
      <color rgb="FF000000"/>
      <sz val="11"/>
    </font>
    <font>
      <name val="Aptos Narrow"/>
      <family val="2"/>
      <b val="1"/>
      <i val="1"/>
      <color theme="1"/>
      <sz val="11"/>
      <scheme val="minor"/>
    </font>
    <font>
      <name val="Arial"/>
      <family val="2"/>
      <color rgb="FF232425"/>
      <sz val="10"/>
    </font>
    <font>
      <name val="Arial"/>
      <family val="2"/>
      <i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43" fontId="3" fillId="0" borderId="0"/>
  </cellStyleXfs>
  <cellXfs count="72">
    <xf numFmtId="0" fontId="0" fillId="0" borderId="0" pivotButton="0" quotePrefix="0" xfId="0"/>
    <xf numFmtId="0" fontId="0" fillId="0" borderId="1" pivotButton="0" quotePrefix="0" xfId="0"/>
    <xf numFmtId="0" fontId="1" fillId="0" borderId="1" pivotButton="0" quotePrefix="0" xfId="0"/>
    <xf numFmtId="0" fontId="0" fillId="0" borderId="1" applyAlignment="1" pivotButton="0" quotePrefix="0" xfId="0">
      <alignment horizontal="center"/>
    </xf>
    <xf numFmtId="0" fontId="2" fillId="0" borderId="1" applyAlignment="1" pivotButton="0" quotePrefix="0" xfId="0">
      <alignment vertical="center"/>
    </xf>
    <xf numFmtId="0" fontId="1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14" fontId="0" fillId="0" borderId="0" pivotButton="0" quotePrefix="0" xfId="0"/>
    <xf numFmtId="0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1" applyAlignment="1" pivotButton="0" quotePrefix="0" xfId="1">
      <alignment wrapText="1"/>
    </xf>
    <xf numFmtId="0" fontId="5" fillId="0" borderId="0" applyAlignment="1" pivotButton="0" quotePrefix="0" xfId="0">
      <alignment horizontal="right" wrapText="1"/>
    </xf>
    <xf numFmtId="164" fontId="0" fillId="0" borderId="0" pivotButton="0" quotePrefix="0" xfId="0"/>
    <xf numFmtId="165" fontId="0" fillId="0" borderId="1" pivotButton="0" quotePrefix="0" xfId="0"/>
    <xf numFmtId="3" fontId="6" fillId="0" borderId="1" applyAlignment="1" pivotButton="0" quotePrefix="0" xfId="0">
      <alignment horizontal="right"/>
    </xf>
    <xf numFmtId="3" fontId="0" fillId="0" borderId="0" pivotButton="0" quotePrefix="0" xfId="0"/>
    <xf numFmtId="3" fontId="0" fillId="0" borderId="1" pivotButton="0" quotePrefix="0" xfId="0"/>
    <xf numFmtId="3" fontId="0" fillId="0" borderId="1" applyAlignment="1" pivotButton="0" quotePrefix="0" xfId="0">
      <alignment horizontal="right"/>
    </xf>
    <xf numFmtId="3" fontId="0" fillId="0" borderId="1" applyAlignment="1" pivotButton="0" quotePrefix="0" xfId="1">
      <alignment wrapText="1"/>
    </xf>
    <xf numFmtId="165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1" fontId="8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wrapText="1"/>
    </xf>
    <xf numFmtId="3" fontId="7" fillId="3" borderId="1" applyAlignment="1" pivotButton="0" quotePrefix="1" xfId="0">
      <alignment vertical="center"/>
    </xf>
    <xf numFmtId="3" fontId="7" fillId="3" borderId="1" applyAlignment="1" pivotButton="0" quotePrefix="1" xfId="0">
      <alignment vertical="center" wrapText="1"/>
    </xf>
    <xf numFmtId="0" fontId="7" fillId="2" borderId="1" applyAlignment="1" pivotButton="0" quotePrefix="0" xfId="0">
      <alignment vertical="center" wrapText="1"/>
    </xf>
    <xf numFmtId="3" fontId="0" fillId="3" borderId="1" applyAlignment="1" pivotButton="0" quotePrefix="1" xfId="0">
      <alignment vertical="center" wrapText="1"/>
    </xf>
    <xf numFmtId="0" fontId="7" fillId="3" borderId="1" applyAlignment="1" pivotButton="0" quotePrefix="0" xfId="0">
      <alignment vertical="center" wrapText="1"/>
    </xf>
    <xf numFmtId="165" fontId="7" fillId="3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/>
    </xf>
    <xf numFmtId="0" fontId="0" fillId="0" borderId="2" applyAlignment="1" pivotButton="0" quotePrefix="0" xfId="0">
      <alignment horizontal="center" vertical="center"/>
    </xf>
    <xf numFmtId="3" fontId="6" fillId="0" borderId="1" pivotButton="0" quotePrefix="0" xfId="0"/>
    <xf numFmtId="19" fontId="6" fillId="0" borderId="1" applyAlignment="1" pivotButton="0" quotePrefix="0" xfId="0">
      <alignment horizontal="right"/>
    </xf>
    <xf numFmtId="49" fontId="6" fillId="0" borderId="1" applyAlignment="1" pivotButton="0" quotePrefix="0" xfId="0">
      <alignment horizontal="right" wrapText="1"/>
    </xf>
    <xf numFmtId="3" fontId="0" fillId="2" borderId="1" applyAlignment="1" pivotButton="0" quotePrefix="0" xfId="0">
      <alignment horizontal="right" vertical="center"/>
    </xf>
    <xf numFmtId="0" fontId="7" fillId="2" borderId="1" applyAlignment="1" pivotButton="0" quotePrefix="0" xfId="0">
      <alignment horizontal="center" vertical="center" wrapText="1"/>
    </xf>
    <xf numFmtId="3" fontId="5" fillId="0" borderId="1" applyAlignment="1" pivotButton="0" quotePrefix="0" xfId="0">
      <alignment horizontal="right"/>
    </xf>
    <xf numFmtId="0" fontId="10" fillId="0" borderId="1" applyAlignment="1" pivotButton="0" quotePrefix="0" xfId="0">
      <alignment wrapText="1"/>
    </xf>
    <xf numFmtId="3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21" fontId="8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vertical="center" wrapText="1"/>
    </xf>
    <xf numFmtId="3" fontId="0" fillId="0" borderId="1" pivotButton="0" quotePrefix="0" xfId="1"/>
    <xf numFmtId="0" fontId="10" fillId="0" borderId="1" applyAlignment="1" pivotButton="0" quotePrefix="0" xfId="0">
      <alignment horizontal="left" wrapText="1"/>
    </xf>
    <xf numFmtId="0" fontId="9" fillId="0" borderId="1" applyAlignment="1" pivotButton="0" quotePrefix="0" xfId="0">
      <alignment horizontal="right"/>
    </xf>
    <xf numFmtId="0" fontId="2" fillId="0" borderId="1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 wrapText="1"/>
    </xf>
    <xf numFmtId="0" fontId="1" fillId="0" borderId="1" applyAlignment="1" pivotButton="0" quotePrefix="0" xfId="0">
      <alignment horizontal="left" vertical="center"/>
    </xf>
    <xf numFmtId="15" fontId="0" fillId="0" borderId="0" pivotButton="0" quotePrefix="0" xfId="0"/>
    <xf numFmtId="164" fontId="3" fillId="0" borderId="0" pivotButton="0" quotePrefix="0" xfId="1"/>
    <xf numFmtId="0" fontId="7" fillId="3" borderId="1" applyAlignment="1" pivotButton="0" quotePrefix="1" xfId="0">
      <alignment horizontal="center" vertical="center"/>
    </xf>
    <xf numFmtId="3" fontId="7" fillId="3" borderId="1" applyAlignment="1" pivotButton="0" quotePrefix="1" xfId="0">
      <alignment horizontal="center" vertical="center"/>
    </xf>
    <xf numFmtId="0" fontId="0" fillId="0" borderId="1" applyAlignment="1" pivotButton="0" quotePrefix="1" xfId="0">
      <alignment horizontal="center" vertical="center"/>
    </xf>
    <xf numFmtId="0" fontId="11" fillId="2" borderId="1" applyAlignment="1" pivotButton="0" quotePrefix="0" xfId="0">
      <alignment horizontal="center" vertical="center"/>
    </xf>
    <xf numFmtId="0" fontId="9" fillId="0" borderId="5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1" applyAlignment="1" pivotButton="0" quotePrefix="0" xfId="0">
      <alignment horizontal="center"/>
    </xf>
    <xf numFmtId="0" fontId="0" fillId="0" borderId="4" pivotButton="0" quotePrefix="0" xfId="0"/>
    <xf numFmtId="0" fontId="0" fillId="0" borderId="3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3" fontId="11" fillId="2" borderId="1" applyAlignment="1" pivotButton="0" quotePrefix="0" xfId="0">
      <alignment horizontal="center" vertical="center"/>
    </xf>
    <xf numFmtId="3" fontId="3" fillId="0" borderId="0" pivotButton="0" quotePrefix="0" xfId="1"/>
    <xf numFmtId="3" fontId="9" fillId="0" borderId="5" applyAlignment="1" pivotButton="0" quotePrefix="0" xfId="0">
      <alignment horizontal="center"/>
    </xf>
    <xf numFmtId="3" fontId="9" fillId="0" borderId="1" applyAlignment="1" pivotButton="0" quotePrefix="0" xfId="0">
      <alignment horizontal="right"/>
    </xf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M41"/>
  <sheetViews>
    <sheetView tabSelected="1" topLeftCell="A22" zoomScale="80" zoomScaleNormal="100" workbookViewId="0">
      <selection activeCell="D38" sqref="D38"/>
    </sheetView>
  </sheetViews>
  <sheetFormatPr baseColWidth="8" defaultRowHeight="14.5"/>
  <cols>
    <col width="9.36328125" customWidth="1" style="12" min="1" max="1"/>
    <col width="25.36328125" bestFit="1" customWidth="1" style="67" min="2" max="2"/>
    <col width="24.1796875" bestFit="1" customWidth="1" style="67" min="3" max="3"/>
    <col width="22" bestFit="1" customWidth="1" style="67" min="4" max="4"/>
    <col width="22.54296875" customWidth="1" style="67" min="5" max="5"/>
    <col width="14.08984375" bestFit="1" customWidth="1" style="67" min="6" max="6"/>
    <col width="19.26953125" customWidth="1" style="67" min="7" max="7"/>
    <col width="30.453125" bestFit="1" customWidth="1" style="67" min="9" max="9"/>
    <col width="20.6328125" bestFit="1" customWidth="1" style="67" min="10" max="10"/>
    <col width="21.7265625" customWidth="1" style="67" min="11" max="11"/>
  </cols>
  <sheetData>
    <row r="1" ht="18.5" customHeight="1" s="67">
      <c r="A1" s="11" t="inlineStr">
        <is>
          <t>Sr No</t>
        </is>
      </c>
      <c r="B1" s="5" t="inlineStr">
        <is>
          <t xml:space="preserve">KPI </t>
        </is>
      </c>
      <c r="C1" s="63" t="inlineStr">
        <is>
          <t>Triveni</t>
        </is>
      </c>
      <c r="D1" s="64" t="n"/>
      <c r="E1" s="64" t="n"/>
      <c r="F1" s="64" t="n"/>
      <c r="G1" s="65" t="n"/>
    </row>
    <row r="2" ht="43.5" customHeight="1" s="67">
      <c r="A2" s="36" t="n">
        <v>1</v>
      </c>
      <c r="B2" s="53" t="inlineStr">
        <is>
          <t>PREPAID BILLING DATE</t>
        </is>
      </c>
      <c r="C2" s="51" t="inlineStr">
        <is>
          <t>Completed</t>
        </is>
      </c>
      <c r="D2" s="51" t="inlineStr">
        <is>
          <t>Eligible count</t>
        </is>
      </c>
      <c r="E2" s="51" t="inlineStr">
        <is>
          <t>Billing Count</t>
        </is>
      </c>
      <c r="F2" s="51" t="inlineStr">
        <is>
          <t>Time of Run</t>
        </is>
      </c>
      <c r="G2" s="52" t="inlineStr">
        <is>
          <t>Time taken to complete the Daily billing</t>
        </is>
      </c>
    </row>
    <row r="3">
      <c r="A3" s="36" t="n"/>
      <c r="B3" s="16" t="n">
        <v>46121</v>
      </c>
      <c r="C3" s="35" t="inlineStr">
        <is>
          <t>YES</t>
        </is>
      </c>
      <c r="D3" s="37" t="n">
        <v>1032162</v>
      </c>
      <c r="E3" s="17" t="n">
        <v>1030010</v>
      </c>
      <c r="F3" s="38" t="n">
        <v>0.00625</v>
      </c>
      <c r="G3" s="39" t="inlineStr">
        <is>
          <t>01:44:32</t>
        </is>
      </c>
      <c r="I3" s="54" t="n"/>
    </row>
    <row r="4">
      <c r="A4" s="36" t="n"/>
      <c r="B4" s="61" t="n"/>
      <c r="C4" s="64" t="n"/>
      <c r="D4" s="64" t="n"/>
      <c r="E4" s="64" t="n"/>
      <c r="F4" s="64" t="n"/>
      <c r="G4" s="65" t="n"/>
    </row>
    <row r="5">
      <c r="A5" s="36" t="n"/>
      <c r="B5" s="5" t="inlineStr">
        <is>
          <t>Processed Date</t>
        </is>
      </c>
      <c r="C5" s="62" t="n"/>
      <c r="D5" s="34" t="inlineStr">
        <is>
          <t>RAW Data Count</t>
        </is>
      </c>
      <c r="E5" s="34" t="inlineStr">
        <is>
          <t>Processed</t>
        </is>
      </c>
      <c r="F5" s="34" t="inlineStr">
        <is>
          <t>Exception</t>
        </is>
      </c>
      <c r="G5" s="9" t="n"/>
    </row>
    <row r="6">
      <c r="A6" s="36" t="n">
        <v>2</v>
      </c>
      <c r="B6" s="16" t="n">
        <v>46121</v>
      </c>
      <c r="C6" s="62" t="inlineStr">
        <is>
          <t>DAILY PROFILE</t>
        </is>
      </c>
      <c r="D6" s="68" t="n">
        <v>1087413</v>
      </c>
      <c r="E6" s="68" t="n">
        <v>874382</v>
      </c>
      <c r="F6" s="68" t="n">
        <v>213031</v>
      </c>
      <c r="G6" s="62" t="n"/>
    </row>
    <row r="7">
      <c r="A7" s="36" t="n">
        <v>3</v>
      </c>
      <c r="B7" s="16" t="n">
        <v>46121</v>
      </c>
      <c r="C7" s="62" t="inlineStr">
        <is>
          <t>BILLING</t>
        </is>
      </c>
      <c r="D7" s="68" t="n">
        <v>10427</v>
      </c>
      <c r="E7" s="68" t="n">
        <v>2424</v>
      </c>
      <c r="F7" s="68" t="n">
        <v>8003</v>
      </c>
      <c r="G7" s="62" t="n"/>
      <c r="I7" s="24" t="n"/>
      <c r="J7" s="25" t="n"/>
    </row>
    <row r="8">
      <c r="A8" s="36" t="n">
        <v>4</v>
      </c>
      <c r="B8" s="16" t="n">
        <v>46121</v>
      </c>
      <c r="C8" s="62" t="inlineStr">
        <is>
          <t>BLOCK PROFILE</t>
        </is>
      </c>
      <c r="D8" s="68" t="n">
        <v>51617648</v>
      </c>
      <c r="E8" s="68" t="n">
        <v>51614983</v>
      </c>
      <c r="F8" s="68" t="n">
        <v>2665</v>
      </c>
      <c r="G8" s="62" t="n"/>
      <c r="I8" s="24" t="n"/>
      <c r="J8" s="25" t="n"/>
    </row>
    <row r="9">
      <c r="A9" s="36" t="n">
        <v>5</v>
      </c>
      <c r="B9" s="62" t="n"/>
      <c r="C9" s="62" t="inlineStr">
        <is>
          <t>GMR DATA SHARING</t>
        </is>
      </c>
      <c r="D9" s="62" t="n"/>
      <c r="E9" s="62" t="n"/>
      <c r="F9" s="62" t="n"/>
      <c r="G9" s="62" t="n"/>
      <c r="I9" s="24" t="n"/>
      <c r="J9" s="25" t="n"/>
    </row>
    <row r="10">
      <c r="A10" s="36" t="n"/>
      <c r="B10" s="61" t="n"/>
      <c r="C10" s="64" t="n"/>
      <c r="D10" s="64" t="n"/>
      <c r="E10" s="64" t="n"/>
      <c r="F10" s="64" t="n"/>
      <c r="G10" s="65" t="n"/>
    </row>
    <row r="11" ht="29" customHeight="1" s="67">
      <c r="A11" s="36" t="n">
        <v>6</v>
      </c>
      <c r="B11" s="9" t="inlineStr">
        <is>
          <t>Meter Data(RTC) DATE</t>
        </is>
      </c>
      <c r="C11" s="34" t="inlineStr">
        <is>
          <t>NFMS</t>
        </is>
      </c>
      <c r="D11" s="51" t="inlineStr">
        <is>
          <t>Eligible count</t>
        </is>
      </c>
      <c r="E11" s="51" t="inlineStr">
        <is>
          <t>Meter Shared count</t>
        </is>
      </c>
      <c r="F11" s="52" t="inlineStr">
        <is>
          <t>Records Shared count</t>
        </is>
      </c>
      <c r="G11" s="62" t="n"/>
    </row>
    <row r="12">
      <c r="A12" s="36" t="n"/>
      <c r="B12" s="16" t="n">
        <v>46121</v>
      </c>
      <c r="C12" s="62" t="inlineStr">
        <is>
          <t>DAILY PROFILE</t>
        </is>
      </c>
      <c r="D12" s="19" t="n">
        <v>1780</v>
      </c>
      <c r="E12" s="40" t="n">
        <v>1616</v>
      </c>
      <c r="F12" s="19" t="n">
        <v>1616</v>
      </c>
      <c r="G12" s="62" t="n"/>
    </row>
    <row r="13">
      <c r="A13" s="36" t="n"/>
      <c r="B13" s="16" t="n">
        <v>46121</v>
      </c>
      <c r="C13" s="62" t="inlineStr">
        <is>
          <t>BLOCK PROFILE</t>
        </is>
      </c>
      <c r="D13" s="19" t="n">
        <v>1780</v>
      </c>
      <c r="E13" s="19" t="n">
        <v>1606</v>
      </c>
      <c r="F13" s="19" t="n">
        <v>77088</v>
      </c>
      <c r="G13" s="62" t="n"/>
    </row>
    <row r="14" ht="17" customHeight="1" s="67">
      <c r="A14" s="36" t="n"/>
      <c r="B14" s="16" t="n">
        <v>46121</v>
      </c>
      <c r="C14" s="62" t="inlineStr">
        <is>
          <t>BILLING</t>
        </is>
      </c>
      <c r="D14" s="20" t="n">
        <v>1780</v>
      </c>
      <c r="E14" s="20" t="n">
        <v>5</v>
      </c>
      <c r="F14" s="20" t="n">
        <v>5</v>
      </c>
      <c r="G14" s="62" t="n"/>
      <c r="M14" s="14" t="n"/>
    </row>
    <row r="15" ht="29" customHeight="1" s="67">
      <c r="A15" s="36" t="n">
        <v>7</v>
      </c>
      <c r="B15" s="5" t="inlineStr">
        <is>
          <t>SMS Sent to consumer</t>
        </is>
      </c>
      <c r="C15" s="2" t="inlineStr">
        <is>
          <t>DATE:-4/24/2026</t>
        </is>
      </c>
      <c r="D15" s="5" t="inlineStr">
        <is>
          <t>SMS Total Count: 638,646</t>
        </is>
      </c>
      <c r="E15" s="61" t="n"/>
      <c r="F15" s="61" t="n"/>
      <c r="G15" s="62" t="n"/>
    </row>
    <row r="16" ht="15" customHeight="1" s="67">
      <c r="A16" s="36" t="n"/>
      <c r="B16" s="41" t="inlineStr">
        <is>
          <t>SMS</t>
        </is>
      </c>
      <c r="C16" s="30" t="inlineStr">
        <is>
          <t>Proposed IDs</t>
        </is>
      </c>
      <c r="D16" s="30" t="inlineStr">
        <is>
          <t>PU01</t>
        </is>
      </c>
      <c r="E16" s="62" t="n"/>
      <c r="F16" s="62" t="n"/>
      <c r="G16" s="62" t="n"/>
    </row>
    <row r="17" ht="43.5" customHeight="1" s="67">
      <c r="A17" s="36" t="n"/>
      <c r="B17" s="32" t="inlineStr">
        <is>
          <t>When the user's remaining balance reaches 10% of last recharge</t>
        </is>
      </c>
      <c r="C17" s="56" t="inlineStr">
        <is>
          <t xml:space="preserve">1107172475394575846 </t>
        </is>
      </c>
      <c r="D17" s="31" t="n">
        <v>158052</v>
      </c>
      <c r="E17" s="42" t="n"/>
      <c r="F17" s="62" t="n"/>
      <c r="G17" s="62" t="n"/>
    </row>
    <row r="18" ht="29" customHeight="1" s="67">
      <c r="B18" s="33" t="inlineStr">
        <is>
          <t>When the user's remaining balance reaches 30% of last recharge</t>
        </is>
      </c>
      <c r="C18" s="57" t="inlineStr">
        <is>
          <t xml:space="preserve">1107172475375922047    </t>
        </is>
      </c>
      <c r="D18" s="29" t="n">
        <v>242616</v>
      </c>
      <c r="E18" s="19" t="n"/>
      <c r="F18" s="19" t="n"/>
      <c r="G18" s="62" t="n"/>
    </row>
    <row r="19" ht="72.5" customHeight="1" s="67">
      <c r="B19" s="49" t="inlineStr">
        <is>
          <t>When the consumer's remaining balance reaches Zero and below, and having no postpaid arrear</t>
        </is>
      </c>
      <c r="C19" s="56" t="inlineStr">
        <is>
          <t>1207176785822272761'</t>
        </is>
      </c>
      <c r="D19" s="31" t="n">
        <v>88386</v>
      </c>
      <c r="E19" s="19" t="n"/>
      <c r="F19" s="62" t="n"/>
      <c r="G19" s="62" t="n"/>
    </row>
    <row r="20" ht="87" customHeight="1" s="67">
      <c r="B20" s="32" t="inlineStr">
        <is>
          <t>When the consumers have the postpaid outstanding (arrear greater than zero) &amp; consumer’s remaining balance reaches Zero and below.</t>
        </is>
      </c>
      <c r="C20" s="56" t="inlineStr">
        <is>
          <t>1207176786761857310   '</t>
        </is>
      </c>
      <c r="D20" s="28" t="n">
        <v>63689</v>
      </c>
      <c r="E20" s="44" t="n"/>
      <c r="F20" s="62" t="n"/>
      <c r="G20" s="62" t="n"/>
    </row>
    <row r="21" ht="29" customFormat="1" customHeight="1" s="7">
      <c r="A21" s="12" t="n"/>
      <c r="B21" s="43" t="inlineStr">
        <is>
          <t>When the consumers have the postpaid outstanding (arrear greater than zero) &amp; consumer’s remaining balance reaches 30% of last recharge.</t>
        </is>
      </c>
      <c r="C21" s="57" t="inlineStr">
        <is>
          <t xml:space="preserve">1207176786932636391 </t>
        </is>
      </c>
      <c r="D21" s="28" t="n">
        <v>34569</v>
      </c>
      <c r="E21" s="19" t="n"/>
      <c r="F21" s="45" t="n"/>
      <c r="G21" s="62" t="n"/>
    </row>
    <row r="22" ht="71" customHeight="1" s="67">
      <c r="B22" s="26" t="inlineStr">
        <is>
          <t>When the consumers have the postpaid outstanding (arrear greater than zero) &amp; consumer’s remaining balance reaches 10% of last recharge.</t>
        </is>
      </c>
      <c r="C22" s="58" t="inlineStr">
        <is>
          <t>1207176785342699396</t>
        </is>
      </c>
      <c r="D22" s="19" t="n">
        <v>22502</v>
      </c>
      <c r="E22" s="45" t="n"/>
      <c r="F22" s="62" t="n"/>
      <c r="G22" s="46" t="n"/>
      <c r="H22" s="24" t="n"/>
    </row>
    <row r="23" ht="33.5" customHeight="1" s="67">
      <c r="B23" s="27" t="inlineStr">
        <is>
          <t>Auto Disconnection Notice without Arrear</t>
        </is>
      </c>
      <c r="C23" s="58" t="inlineStr">
        <is>
          <t>1207176923398746518</t>
        </is>
      </c>
      <c r="D23" s="19" t="n">
        <v>11011</v>
      </c>
      <c r="E23" s="62" t="n"/>
      <c r="F23" s="62" t="n"/>
      <c r="G23" s="46" t="n"/>
      <c r="H23" s="24" t="n"/>
    </row>
    <row r="24" ht="29" customHeight="1" s="67">
      <c r="B24" s="27" t="inlineStr">
        <is>
          <t>Postpaid to prepaid conversion when consumer have the postpaid outstanding (arrear greater than zero) on conversion</t>
        </is>
      </c>
      <c r="C24" s="58" t="inlineStr">
        <is>
          <t xml:space="preserve">1207175612570831275  </t>
        </is>
      </c>
      <c r="D24" s="19" t="n">
        <v>2813</v>
      </c>
      <c r="E24" s="62" t="n"/>
      <c r="F24" s="62" t="n"/>
      <c r="G24" s="46" t="n"/>
      <c r="H24" s="24" t="n"/>
    </row>
    <row r="25" ht="30.5" customHeight="1" s="67">
      <c r="B25" s="27" t="inlineStr">
        <is>
          <t>Auto Disconnection Notice with Arrear</t>
        </is>
      </c>
      <c r="C25" s="58" t="inlineStr">
        <is>
          <t xml:space="preserve">1207176924846750967    </t>
        </is>
      </c>
      <c r="D25" s="19" t="n">
        <v>3979</v>
      </c>
      <c r="E25" s="62" t="n"/>
      <c r="F25" s="62" t="n"/>
      <c r="G25" s="62" t="n"/>
    </row>
    <row r="26" ht="45" customHeight="1" s="67">
      <c r="B26" s="27" t="inlineStr">
        <is>
          <t>Postpaid to prepaid conversion when the consumer does not have any postpaid outstanding (Zero Arrear) and current balance is negative</t>
        </is>
      </c>
      <c r="C26" s="58" t="inlineStr">
        <is>
          <t>1207175569482475573</t>
        </is>
      </c>
      <c r="D26" s="19" t="n">
        <v>541</v>
      </c>
      <c r="E26" s="62" t="n"/>
      <c r="F26" s="6" t="n"/>
      <c r="G26" s="62" t="n"/>
    </row>
    <row r="27" ht="70.5" customHeight="1" s="67">
      <c r="B27" s="27" t="inlineStr">
        <is>
          <t>Postpaid to prepaid conversion when the consumer does not have any postpaid outstanding (zero arrear) on conversion and current balance is positive.</t>
        </is>
      </c>
      <c r="C27" s="58" t="inlineStr">
        <is>
          <t xml:space="preserve">1207175922160908337          </t>
        </is>
      </c>
      <c r="D27" s="69" t="n">
        <v>493</v>
      </c>
      <c r="E27" s="62" t="n"/>
      <c r="F27" s="62" t="n"/>
      <c r="G27" s="62" t="n"/>
    </row>
    <row r="28" ht="84.5" customHeight="1" s="67">
      <c r="B28" s="27" t="inlineStr">
        <is>
          <t>Postpaid to prepaid conversion when consumer have the postpaid outstanding (arrear greater than zero) on conversion</t>
        </is>
      </c>
      <c r="C28" s="58" t="inlineStr">
        <is>
          <t xml:space="preserve">1107174806286164561   </t>
        </is>
      </c>
      <c r="D28" s="19" t="n">
        <v>8986</v>
      </c>
      <c r="E28" s="62" t="n"/>
      <c r="F28" s="62" t="n"/>
      <c r="G28" s="62" t="n"/>
    </row>
    <row r="29" ht="44.5" customHeight="1" s="67">
      <c r="B29" s="27" t="inlineStr">
        <is>
          <t>Postpaid to prepaid conversion when the consumer does not have any postpaid outstanding (zero arrear) on conversion</t>
        </is>
      </c>
      <c r="C29" s="58" t="inlineStr">
        <is>
          <t xml:space="preserve">1207175922838379441  </t>
        </is>
      </c>
      <c r="D29" s="19" t="n">
        <v>1009</v>
      </c>
      <c r="E29" s="62" t="n"/>
      <c r="F29" s="62" t="n"/>
      <c r="G29" s="62" t="n"/>
    </row>
    <row r="30" ht="29" customHeight="1" s="67">
      <c r="A30" s="36" t="n">
        <v>8</v>
      </c>
      <c r="B30" s="2" t="inlineStr">
        <is>
          <t>Monthly Billing DATE</t>
        </is>
      </c>
      <c r="C30" s="4" t="inlineStr">
        <is>
          <t>Eligible count in MDM</t>
        </is>
      </c>
      <c r="D30" s="47" t="inlineStr">
        <is>
          <t>Cumulative data shared for the month</t>
        </is>
      </c>
      <c r="E30" s="47" t="n"/>
      <c r="F30" s="62" t="n"/>
      <c r="G30" s="62" t="n"/>
    </row>
    <row r="31">
      <c r="A31" s="36" t="n"/>
      <c r="B31" s="16" t="n">
        <v>46121</v>
      </c>
      <c r="C31" s="48" t="n">
        <v>1038854</v>
      </c>
      <c r="D31" s="21" t="n">
        <v>980044</v>
      </c>
      <c r="E31" s="13" t="n"/>
      <c r="F31" s="62" t="n"/>
      <c r="G31" s="62" t="n"/>
    </row>
    <row r="32" ht="29.5" customHeight="1" s="67">
      <c r="A32" s="36" t="n">
        <v>9</v>
      </c>
      <c r="B32" s="11" t="inlineStr">
        <is>
          <t>JIO Data Sharing:DATE</t>
        </is>
      </c>
      <c r="C32" s="9" t="inlineStr">
        <is>
          <t>Block Data Share count</t>
        </is>
      </c>
      <c r="D32" s="9" t="inlineStr">
        <is>
          <t>Daily Data Share Count</t>
        </is>
      </c>
      <c r="E32" s="10" t="inlineStr">
        <is>
          <t>Daily Charge Billing share count</t>
        </is>
      </c>
      <c r="F32" s="62" t="n"/>
      <c r="G32" s="62" t="n"/>
    </row>
    <row r="33" ht="15" customHeight="1" s="67" thickBot="1">
      <c r="A33" s="6" t="n"/>
      <c r="B33" s="16" t="n">
        <v>46121</v>
      </c>
      <c r="C33" s="70" t="n">
        <v>48740522</v>
      </c>
      <c r="D33" s="70" t="n">
        <v>776683</v>
      </c>
      <c r="E33" s="71" t="n">
        <v>2863</v>
      </c>
      <c r="F33" s="62" t="n"/>
      <c r="G33" s="62" t="n"/>
    </row>
    <row r="39">
      <c r="E39" s="23" t="n"/>
    </row>
    <row r="40">
      <c r="E40" s="23" t="n"/>
    </row>
    <row r="41">
      <c r="E41" s="23" t="n"/>
    </row>
  </sheetData>
  <mergeCells count="3">
    <mergeCell ref="B4:G4"/>
    <mergeCell ref="B10:G10"/>
    <mergeCell ref="C1:G1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77"/>
  <sheetViews>
    <sheetView workbookViewId="0">
      <selection activeCell="B12" sqref="B12"/>
    </sheetView>
  </sheetViews>
  <sheetFormatPr baseColWidth="8" defaultRowHeight="14.5"/>
  <cols>
    <col width="15.08984375" customWidth="1" style="67" min="1" max="1"/>
    <col width="21.90625" customWidth="1" style="67" min="2" max="2"/>
  </cols>
  <sheetData>
    <row r="1">
      <c r="A1" t="inlineStr">
        <is>
          <t xml:space="preserve">Normal billing </t>
        </is>
      </c>
      <c r="B1" t="inlineStr">
        <is>
          <t>Normal meters</t>
        </is>
      </c>
      <c r="C1" t="inlineStr">
        <is>
          <t>Net meter</t>
        </is>
      </c>
    </row>
    <row r="2">
      <c r="A2" s="8" t="n">
        <v>46026</v>
      </c>
      <c r="B2">
        <f>2556+168096</f>
        <v/>
      </c>
      <c r="C2">
        <f>364+8970</f>
        <v/>
      </c>
      <c r="D2">
        <f>B2+C2</f>
        <v/>
      </c>
    </row>
    <row r="3">
      <c r="A3" s="8" t="n">
        <v>46057</v>
      </c>
      <c r="B3">
        <f>1786+382262</f>
        <v/>
      </c>
      <c r="C3">
        <f>14347+229</f>
        <v/>
      </c>
      <c r="D3">
        <f>B3+C3</f>
        <v/>
      </c>
    </row>
    <row r="4"/>
    <row r="5">
      <c r="A5" t="inlineStr">
        <is>
          <t>Total</t>
        </is>
      </c>
      <c r="D5">
        <f>SUM(D2:D3)</f>
        <v/>
      </c>
    </row>
    <row r="6"/>
    <row r="7">
      <c r="A7" s="66" t="inlineStr">
        <is>
          <t>cummu data which was sent on prev day</t>
        </is>
      </c>
    </row>
    <row r="8">
      <c r="A8" s="8" t="n">
        <v>46120</v>
      </c>
      <c r="B8" s="13" t="n">
        <v>959022</v>
      </c>
    </row>
    <row r="9">
      <c r="A9" s="8" t="n">
        <v>46121</v>
      </c>
      <c r="B9" s="13" t="n">
        <v>974503</v>
      </c>
    </row>
    <row r="10">
      <c r="A10" s="22" t="n">
        <v>46122</v>
      </c>
      <c r="B10" s="21" t="n">
        <v>980044</v>
      </c>
    </row>
    <row r="11">
      <c r="A11" s="22" t="n">
        <v>46123</v>
      </c>
      <c r="B11" s="18" t="n">
        <v>979460</v>
      </c>
    </row>
    <row r="12">
      <c r="A12" s="22" t="n">
        <v>46124</v>
      </c>
      <c r="B12" s="18" t="n">
        <v>984417</v>
      </c>
    </row>
    <row r="13">
      <c r="A13" s="22" t="n">
        <v>46125</v>
      </c>
      <c r="B13" s="18" t="n">
        <v>987681</v>
      </c>
    </row>
    <row r="14">
      <c r="A14" s="22" t="n">
        <v>46126</v>
      </c>
      <c r="B14" s="18" t="n">
        <v>990723</v>
      </c>
      <c r="G14">
        <f>14457+946</f>
        <v/>
      </c>
    </row>
    <row r="15">
      <c r="A15" s="8" t="n">
        <v>46127</v>
      </c>
      <c r="G15" s="15">
        <f>B8+G14</f>
        <v/>
      </c>
    </row>
    <row r="16">
      <c r="A16" s="8" t="n">
        <v>46128</v>
      </c>
    </row>
    <row r="17">
      <c r="A17" s="8" t="n">
        <v>46129</v>
      </c>
    </row>
    <row r="18">
      <c r="A18" s="8" t="n">
        <v>46130</v>
      </c>
      <c r="E18" t="n">
        <v>959300</v>
      </c>
    </row>
    <row r="19">
      <c r="A19" s="22" t="n">
        <v>46131</v>
      </c>
      <c r="B19" s="18" t="n">
        <v>990723</v>
      </c>
      <c r="E19" t="n">
        <v>974503</v>
      </c>
    </row>
    <row r="20">
      <c r="A20" s="8" t="n">
        <v>46132</v>
      </c>
      <c r="E20">
        <f t="array" ref="E20">sub</f>
        <v/>
      </c>
    </row>
    <row r="21">
      <c r="A21" s="8" t="n">
        <v>46133</v>
      </c>
    </row>
    <row r="22">
      <c r="A22" s="22" t="n">
        <v>46134</v>
      </c>
      <c r="B22" s="18" t="n">
        <v>991796</v>
      </c>
    </row>
    <row r="23">
      <c r="A23" s="22" t="n">
        <v>46135</v>
      </c>
      <c r="B23" s="18" t="n">
        <v>992341</v>
      </c>
    </row>
    <row r="24">
      <c r="A24" s="8" t="n">
        <v>46136</v>
      </c>
    </row>
    <row r="25">
      <c r="A25" s="8" t="n">
        <v>46137</v>
      </c>
    </row>
    <row r="26">
      <c r="A26" s="8" t="n">
        <v>46138</v>
      </c>
    </row>
    <row r="27">
      <c r="A27" s="8" t="n">
        <v>46139</v>
      </c>
    </row>
    <row r="28">
      <c r="A28" s="8" t="n">
        <v>46140</v>
      </c>
    </row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</sheetData>
  <mergeCells count="1">
    <mergeCell ref="A7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Thomas Mathew (SDS/ENG-PJ-OM SDS/PJ-SMP)</dc:creator>
  <dcterms:created xmlns:dcterms="http://purl.org/dc/terms/" xmlns:xsi="http://www.w3.org/2001/XMLSchema-instance" xsi:type="dcterms:W3CDTF">2026-03-20T11:05:16Z</dcterms:created>
  <dcterms:modified xmlns:dcterms="http://purl.org/dc/terms/" xmlns:xsi="http://www.w3.org/2001/XMLSchema-instance" xsi:type="dcterms:W3CDTF">2026-04-25T11:27:49Z</dcterms:modified>
  <cp:lastModifiedBy>Deepak Kumar</cp:lastModifiedBy>
</cp:coreProperties>
</file>